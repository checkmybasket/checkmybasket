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Backlog" sheetId="1" state="visible" r:id="rId3"/>
    <sheet name="Summary" sheetId="2" state="visible" r:id="rId4"/>
    <sheet name="By Feature Are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<sst xmlns="http://schemas.openxmlformats.org/spreadsheetml/2006/main" count="526" uniqueCount="250">
  <si>
    <t xml:space="preserve">ID</t>
  </si>
  <si>
    <t xml:space="preserve">Phase</t>
  </si>
  <si>
    <t xml:space="preserve">Feature Area</t>
  </si>
  <si>
    <t xml:space="preserve">Feature</t>
  </si>
  <si>
    <t xml:space="preserve">User Story</t>
  </si>
  <si>
    <t xml:space="preserve">Acceptance Criteria</t>
  </si>
  <si>
    <t xml:space="preserve">Priority</t>
  </si>
  <si>
    <t xml:space="preserve">Effort (Days)</t>
  </si>
  <si>
    <t xml:space="preserve">Dependencies</t>
  </si>
  <si>
    <t xml:space="preserve">Revenue Impact</t>
  </si>
  <si>
    <t xml:space="preserve">Status</t>
  </si>
  <si>
    <t xml:space="preserve">GC-001</t>
  </si>
  <si>
    <t xml:space="preserve">P0 — MVP (Oct 2026)</t>
  </si>
  <si>
    <t xml:space="preserve">Infrastructure</t>
  </si>
  <si>
    <t xml:space="preserve">Project scaffolding</t>
  </si>
  <si>
    <t xml:space="preserve">As a developer, I want a Next.js 14 project with Supabase, Tailwind, and shadcn/ui configured so I can start building features</t>
  </si>
  <si>
    <t xml:space="preserve">Next.js App Router, TypeScript, Tailwind, shadcn/ui, Supabase client, Vercel deployment pipeline, environment variables configured</t>
  </si>
  <si>
    <t xml:space="preserve">Critical</t>
  </si>
  <si>
    <t xml:space="preserve">None</t>
  </si>
  <si>
    <t xml:space="preserve">To Do</t>
  </si>
  <si>
    <t xml:space="preserve">GC-002</t>
  </si>
  <si>
    <t xml:space="preserve">Design token system</t>
  </si>
  <si>
    <t xml:space="preserve">As a developer, I want a CSS custom property system for colours, spacing, typography, and shadows so every component uses consistent tokens</t>
  </si>
  <si>
    <t xml:space="preserve">All tokens from the brief implemented as CSS variables. Semantic colour tokens. 8px spacing rhythm. Fraunces + DM Sans loaded via next/font. Dark mode tokens defined but not active in v1</t>
  </si>
  <si>
    <t xml:space="preserve">GC-003</t>
  </si>
  <si>
    <t xml:space="preserve">Supabase schema and RLS</t>
  </si>
  <si>
    <t xml:space="preserve">As a developer, I want all database tables, relationships, and Row Level Security policies created so the app has a secure data layer</t>
  </si>
  <si>
    <t xml:space="preserve">All 8 tables (User, Group, GroupMember, Exclusion, Draw, WishlistItem, AnonMessage, BabyPhoto) created with RLS policies. Anonymous auth enabled. Storage bucket for photos with group-scoped access</t>
  </si>
  <si>
    <t xml:space="preserve">GC-004</t>
  </si>
  <si>
    <t xml:space="preserve">Anonymous auth flow</t>
  </si>
  <si>
    <t xml:space="preserve">As a user, I want to create or join a group without creating an account so there is zero friction</t>
  </si>
  <si>
    <t xml:space="preserve">Supabase anonymous auth on group creation and join. Session cookie persists across tabs. Optional email upgrade shown post-draw. Magic link login for returning users. No forced registration anywhere</t>
  </si>
  <si>
    <t xml:space="preserve">GC-005</t>
  </si>
  <si>
    <t xml:space="preserve">Landing Page</t>
  </si>
  <si>
    <t xml:space="preserve">Homepage hero and features</t>
  </si>
  <si>
    <t xml:space="preserve">As a visitor, I want to understand what GiftCircle does and create a draw within 10 seconds so I don't bounce</t>
  </si>
  <si>
    <t xml:space="preserve">Hero with headline, subheadline, and CTA from the brief. 6 feature blocks. Trust line below CTA. Subtle festive CSS animation (snowfall or twinkle). Mobile-first responsive. Page load under 2s. No generic AI aesthetics — distinctive typography and warm colour palette</t>
  </si>
  <si>
    <t xml:space="preserve">High</t>
  </si>
  <si>
    <t xml:space="preserve">GC-006</t>
  </si>
  <si>
    <t xml:space="preserve">SEO metadata and OG tags</t>
  </si>
  <si>
    <t xml:space="preserve">As a marketer, I want proper page titles, descriptions, and Open Graph images so the site ranks and shares well</t>
  </si>
  <si>
    <t xml:space="preserve">Title: 'GiftCircle — Free Secret Santa Generator with Wishlists and Gift Ideas'. OG image designed for WhatsApp/social preview. Structured data (Organization, WebApplication). Sitemap generated</t>
  </si>
  <si>
    <t xml:space="preserve">GC-007</t>
  </si>
  <si>
    <t xml:space="preserve">Group Creation</t>
  </si>
  <si>
    <t xml:space="preserve">Create group wizard</t>
  </si>
  <si>
    <t xml:space="preserve">As an organiser, I want to create a Secret Santa group in under 60 seconds so it feels effortless</t>
  </si>
  <si>
    <t xml:space="preserve">Single-page wizard: group name, mode selector (4 cards), budget pills (£5–£25 + custom), exchange date (optional), location (optional), organiser name. CTA: 'Create your draw'. All fields have visible labels. Mobile single-column layout. Sticky CTA button. Progressive disclosure for optional fields</t>
  </si>
  <si>
    <t xml:space="preserve">GC-008</t>
  </si>
  <si>
    <t xml:space="preserve">Invite link and share screen</t>
  </si>
  <si>
    <t xml:space="preserve">As an organiser, I want to share my group via WhatsApp, copy link, or QR code so everyone can join instantly</t>
  </si>
  <si>
    <t xml:space="preserve">Unique invite code generated (URL-safe, short). Share screen with: copy link button, WhatsApp share (pre-filled message), QR code. Live member counter updates as people join. Link format: giftcircle.app/join/[code]</t>
  </si>
  <si>
    <t xml:space="preserve">GC-009</t>
  </si>
  <si>
    <t xml:space="preserve">Join Flow</t>
  </si>
  <si>
    <t xml:space="preserve">Join via invite link</t>
  </si>
  <si>
    <t xml:space="preserve">As a participant, I want to join a group by tapping a WhatsApp link and entering my name so I don't need to download anything</t>
  </si>
  <si>
    <t xml:space="preserve">Join page shows: group name, mode, budget, date, member count, organiser name. Single form field: 'Your name'. CTA: 'Join this Secret Santa'. No account required. After joining: prompted (not forced) to add likes/dislikes and wishlist items. Mobile-optimised with appropriate keyboard type</t>
  </si>
  <si>
    <t xml:space="preserve">GC-010</t>
  </si>
  <si>
    <t xml:space="preserve">Dashboard</t>
  </si>
  <si>
    <t xml:space="preserve">Group dashboard with tab navigation</t>
  </si>
  <si>
    <t xml:space="preserve">As a group member, I want a clean tabbed interface so I can navigate between Draw, Wishlists, Messages, and Games</t>
  </si>
  <si>
    <t xml:space="preserve">Bottom tab bar on mobile (4 tabs max). Lucide icons, no emoji. Top bar: group name, member count, settings gear. Tab transitions are smooth. Notification badges on Messages (unread dot) and Wishlists (new items). Safe area compliance for notch and gesture bar</t>
  </si>
  <si>
    <t xml:space="preserve">GC-011</t>
  </si>
  <si>
    <t xml:space="preserve">Organiser status dashboard</t>
  </si>
  <si>
    <t xml:space="preserve">As an organiser, I want to see who has joined, who has added wishlists, and whether the draw is ready so I can manage the group</t>
  </si>
  <si>
    <t xml:space="preserve">Progress checklist with completion percentage. Member list with status indicators (joined ✓, wishlist ✓). Exclusion rules editor. 'Draw Names' button (disabled until 3+ members). Redraw warning modal</t>
  </si>
  <si>
    <t xml:space="preserve">GC-012</t>
  </si>
  <si>
    <t xml:space="preserve">Draw System</t>
  </si>
  <si>
    <t xml:space="preserve">Draw algorithm with exclusions</t>
  </si>
  <si>
    <t xml:space="preserve">As an organiser, I want names drawn fairly with exclusion rules so couples and siblings don't draw each other</t>
  </si>
  <si>
    <t xml:space="preserve">Derangement algorithm: nobody gets themselves, all exclusions respected, every person gives and receives exactly one gift. If no valid draw possible, clear error message explaining why. Draw results stored per-user. Organiser cannot see individual matches. Draw locks after completion — redraw requires confirmation</t>
  </si>
  <si>
    <t xml:space="preserve">GC-013</t>
  </si>
  <si>
    <t xml:space="preserve">Name reveal animation</t>
  </si>
  <si>
    <t xml:space="preserve">As a participant, I want an exciting reveal of who I'm buying for so the moment feels special and shareable</t>
  </si>
  <si>
    <t xml:space="preserve">Screen 1: 'Ready to find out?' + reveal button. Screen 2: 2–3 second cinematic animation (envelope open or card flip). Screen 3: 'You're buying for... [Name]' with recipient's likes, wishlist, budget, and action buttons. Respects prefers-reduced-motion. Must look polished enough to screenshot and share on WhatsApp</t>
  </si>
  <si>
    <t xml:space="preserve">GC-014</t>
  </si>
  <si>
    <t xml:space="preserve">Trust messaging</t>
  </si>
  <si>
    <t xml:space="preserve">As a participant, I want to see that the draw is fair and private so I trust the result</t>
  </si>
  <si>
    <t xml:space="preserve">Post-draw confirmation: 'All X people matched successfully ✓'. Privacy message: 'Your match is private. Nobody else can see who you picked.' Lock icon: 'Draw is locked.' Organiser restriction: 'The organiser cannot see individual matches.'</t>
  </si>
  <si>
    <t xml:space="preserve">GC-015</t>
  </si>
  <si>
    <t xml:space="preserve">Wishlists</t>
  </si>
  <si>
    <t xml:space="preserve">Add and edit wishlist items</t>
  </si>
  <si>
    <t xml:space="preserve">As a participant, I want to add gift ideas from any shop so my Secret Santa knows what I want</t>
  </si>
  <si>
    <t xml:space="preserve">Add form: title (required), link (any URL), price (£), notes, priority (Would love / Would like / Just inspiration). Sections: 'Things I'd love', 'Things like this', 'Please avoid', 'My sizes'. Retailer-neutral — no Amazon bias. Edit and delete items. Empty state drives action with preview and CTA</t>
  </si>
  <si>
    <t xml:space="preserve">GC-016</t>
  </si>
  <si>
    <t xml:space="preserve">View others' wishlists and mark as bought</t>
  </si>
  <si>
    <t xml:space="preserve">As a buyer, I want to see my recipient's wishlist and mark items as bought so gifts aren't duplicated</t>
  </si>
  <si>
    <t xml:space="preserve">Read-only view of each member's wishlist. 'I'm getting this' toggle — hidden from recipient, visible to other buyers. Links open in new tab. Shop name auto-detected from URL if possible</t>
  </si>
  <si>
    <t xml:space="preserve">Medium</t>
  </si>
  <si>
    <t xml:space="preserve">GC-017</t>
  </si>
  <si>
    <t xml:space="preserve">Messaging</t>
  </si>
  <si>
    <t xml:space="preserve">Anonymous messaging system</t>
  </si>
  <si>
    <t xml:space="preserve">As a buyer, I want to ask my recipient questions without revealing my identity so I can buy a better gift</t>
  </si>
  <si>
    <t xml:space="preserve">Buyer sends as 'Your Secret Santa 🤫'. Recipient sees message but not sender. Reply goes back to buyer privately. Chat bubble UI. Suggested question chips (6 pre-written prompts). 500 char limit. 10 messages/day rate limit. Report button on each message. No images or links in messages</t>
  </si>
  <si>
    <t xml:space="preserve">GC-018</t>
  </si>
  <si>
    <t xml:space="preserve">Gift Ideas</t>
  </si>
  <si>
    <t xml:space="preserve">Curated gift guide pages</t>
  </si>
  <si>
    <t xml:space="preserve">As a user, I want to browse gift ideas filtered by budget so I can find something good quickly</t>
  </si>
  <si>
    <t xml:space="preserve">Static/SSG pages for: under £5, £10, £15, £20, £25, colleague, funny, cosy. Each gift card: image (WebP, lazy loaded), name, price, shop, affiliate link (rel='noopener sponsored'), tags. Affiliate disclosure footer. In-app link from reveal screen: 'Find gifts under £[budget]'</t>
  </si>
  <si>
    <t xml:space="preserve">GC-019</t>
  </si>
  <si>
    <t xml:space="preserve">Games</t>
  </si>
  <si>
    <t xml:space="preserve">Guess the Baby game</t>
  </si>
  <si>
    <t xml:space="preserve">As a group member, I want to play Guess the Baby so we have fun beyond just drawing names</t>
  </si>
  <si>
    <t xml:space="preserve">Upload phase: each member uploads a baby photo with consent message. Game phase: photos shuffled, guess who each photo belongs to. Results: leaderboard, reveal screen, fun stats. Privacy: Supabase Storage private bucket, group-scoped RLS, delete button always available, auto-delete after 30 days. Minimum 4 photos to start</t>
  </si>
  <si>
    <t xml:space="preserve">GC-020</t>
  </si>
  <si>
    <t xml:space="preserve">Mobile responsiveness QA</t>
  </si>
  <si>
    <t xml:space="preserve">As a user, I want the app to work perfectly on my phone so I can use it from WhatsApp</t>
  </si>
  <si>
    <t xml:space="preserve">Tested on: iPhone Safari, iPhone Chrome, Android Chrome, Android Samsung Browser. Touch targets ≥ 44×44px. No horizontal scroll. Bottom nav clears gesture bar. Forms use appropriate keyboard types. Sticky CTAs. Single-column layouts on mobile</t>
  </si>
  <si>
    <t xml:space="preserve">All P0 features</t>
  </si>
  <si>
    <t xml:space="preserve">GC-021</t>
  </si>
  <si>
    <t xml:space="preserve">P1 — Launch Polish (Nov 2026)</t>
  </si>
  <si>
    <t xml:space="preserve">Notifications</t>
  </si>
  <si>
    <t xml:space="preserve">Email — draw results</t>
  </si>
  <si>
    <t xml:space="preserve">As a participant who provided their email, I want to be notified when names are drawn so I don't miss the reveal</t>
  </si>
  <si>
    <t xml:space="preserve">Transactional email via Resend. Subject: 'Names have been drawn! 🎅 Open GiftCircle to see your match.' Links back to reveal screen. Only sent to users who provided an email. Unsubscribe option</t>
  </si>
  <si>
    <t xml:space="preserve">GC-022</t>
  </si>
  <si>
    <t xml:space="preserve">Email — new anonymous message</t>
  </si>
  <si>
    <t xml:space="preserve">As a recipient, I want to be notified when my Secret Santa asks me a question so I can reply</t>
  </si>
  <si>
    <t xml:space="preserve">Email: 'Your Secret Santa has a question for you 🤫'. Links to messages tab. Batched — max 1 email per hour to avoid spam</t>
  </si>
  <si>
    <t xml:space="preserve">GC-023</t>
  </si>
  <si>
    <t xml:space="preserve">Organiser reminder nudges</t>
  </si>
  <si>
    <t xml:space="preserve">As an organiser, I want to remind people who haven't joined or added wishlists so the group is complete before the draw</t>
  </si>
  <si>
    <t xml:space="preserve">Organiser dashboard shows who hasn't joined and who hasn't added wishlist items. 'Send reminder' button re-shares the invite link. 'Nudge to add wishlist' sends a group-level prompt</t>
  </si>
  <si>
    <t xml:space="preserve">GC-024</t>
  </si>
  <si>
    <t xml:space="preserve">Gift ideas for foodies and eco categories</t>
  </si>
  <si>
    <t xml:space="preserve">As a user browsing gifts, I want more category options so I can find the right type of gift</t>
  </si>
  <si>
    <t xml:space="preserve">Add pages: /gifts/foodies, /gifts/eco. Curated products with affiliate links. Same card format as existing pages</t>
  </si>
  <si>
    <t xml:space="preserve">GC-025</t>
  </si>
  <si>
    <t xml:space="preserve">Social proof counter</t>
  </si>
  <si>
    <t xml:space="preserve">As a visitor, I want to see how many groups have been created so I trust the product</t>
  </si>
  <si>
    <t xml:space="preserve">Live counter: 'X groups created this week' or 'X names drawn'. Updates from Supabase aggregate query. Positioned near the CTA. Formatted with commas for large numbers</t>
  </si>
  <si>
    <t xml:space="preserve">GC-026</t>
  </si>
  <si>
    <t xml:space="preserve">Testimonial section</t>
  </si>
  <si>
    <t xml:space="preserve">As a visitor, I want to see real user feedback so I feel confident creating a group</t>
  </si>
  <si>
    <t xml:space="preserve">3–5 testimonial cards with name, role/context (e.g. 'Office organiser'), and quote. Carousel on mobile. Static grid on desktop. Added after beta feedback is collected</t>
  </si>
  <si>
    <t xml:space="preserve">Low</t>
  </si>
  <si>
    <t xml:space="preserve">GC-027</t>
  </si>
  <si>
    <t xml:space="preserve">Accessibility</t>
  </si>
  <si>
    <t xml:space="preserve">Full WCAG 2.1 AA audit</t>
  </si>
  <si>
    <t xml:space="preserve">As a user with accessibility needs, I want the app to meet WCAG 2.1 AA standards so I can use it fully</t>
  </si>
  <si>
    <t xml:space="preserve">4.5:1 contrast on all text. Focus rings on all interactive elements. Screen reader tested (VoiceOver, TalkBack). Skip links. Sequential heading hierarchy. prefers-reduced-motion honoured. All icon buttons have aria-labels. Form fields have visible labels. Colour never the only indicator</t>
  </si>
  <si>
    <t xml:space="preserve">GC-028</t>
  </si>
  <si>
    <t xml:space="preserve">Performance</t>
  </si>
  <si>
    <t xml:space="preserve">Core Web Vitals optimisation</t>
  </si>
  <si>
    <t xml:space="preserve">As a user on a slow connection, I want the app to load fast so I don't abandon the page</t>
  </si>
  <si>
    <t xml:space="preserve">LCP &lt; 2.5s. FID &lt; 100ms. CLS &lt; 0.1. Images optimised (WebP, lazy loaded, reserved space). Fonts preloaded. Code-split per route. Lighthouse score &gt; 90 on all pages</t>
  </si>
  <si>
    <t xml:space="preserve">GC-029</t>
  </si>
  <si>
    <t xml:space="preserve">SEO</t>
  </si>
  <si>
    <t xml:space="preserve">Gift guide SEO optimisation</t>
  </si>
  <si>
    <t xml:space="preserve">As a marketer, I want gift guide pages ranking on Google before November so we capture seasonal search traffic</t>
  </si>
  <si>
    <t xml:space="preserve">Keyword-optimised titles and meta descriptions. Internal linking between gift pages. Breadcrumbs. Schema markup (Product, ItemList). Alt text on all images. Target keywords: 'secret santa gifts under £10 UK', 'office secret santa ideas', 'funny secret santa gifts'</t>
  </si>
  <si>
    <t xml:space="preserve">GC-030</t>
  </si>
  <si>
    <t xml:space="preserve">Analytics</t>
  </si>
  <si>
    <t xml:space="preserve">Event tracking setup</t>
  </si>
  <si>
    <t xml:space="preserve">As a product owner, I want to track key user actions so I can measure activation and conversion</t>
  </si>
  <si>
    <t xml:space="preserve">Track: group created, invite link shared (by channel), member joined, wishlist item added, draw triggered, reveal viewed, anonymous message sent, gift link clicked (affiliate), game started, game completed. Plausible or PostHog — no cookies, privacy-first</t>
  </si>
  <si>
    <t xml:space="preserve">GC-031</t>
  </si>
  <si>
    <t xml:space="preserve">P2 — Post-Launch (Jan 2027)</t>
  </si>
  <si>
    <t xml:space="preserve">Christmas Awards voting</t>
  </si>
  <si>
    <t xml:space="preserve">As a group member, I want to vote on fun awards so we have more group entertainment</t>
  </si>
  <si>
    <t xml:space="preserve">Pre-set award categories (Best Christmas Jumper, Most Likely to Finish the Snacks, etc.). Anonymous voting. Results revealed with animations. Shareable results card</t>
  </si>
  <si>
    <t xml:space="preserve">GC-032</t>
  </si>
  <si>
    <t xml:space="preserve">Guess the Wishlist game</t>
  </si>
  <si>
    <t xml:space="preserve">As a group member, I want to guess who added which wishlist item so we can learn about each other</t>
  </si>
  <si>
    <t xml:space="preserve">Show a wishlist item, players guess who added it. Score tracking. Results at end. Requires minimum wishlist items across group</t>
  </si>
  <si>
    <t xml:space="preserve">GC-015, GC-019</t>
  </si>
  <si>
    <t xml:space="preserve">GC-033</t>
  </si>
  <si>
    <t xml:space="preserve">Christmas Trivia quiz</t>
  </si>
  <si>
    <t xml:space="preserve">As a group member, I want to play a quick festive trivia game for fun</t>
  </si>
  <si>
    <t xml:space="preserve">Pre-loaded question bank: films, songs, UK traditions. Timed rounds. Leaderboard. Organiser can add custom questions</t>
  </si>
  <si>
    <t xml:space="preserve">GC-034</t>
  </si>
  <si>
    <t xml:space="preserve">This or That polls</t>
  </si>
  <si>
    <t xml:space="preserve">As a group member, I want quick group polls to spark conversation</t>
  </si>
  <si>
    <t xml:space="preserve">Fast binary polls: 'Mince pies or chocolate log?', 'Real tree or fake tree?'. Results shown live. Custom poll creation</t>
  </si>
  <si>
    <t xml:space="preserve">GC-035</t>
  </si>
  <si>
    <t xml:space="preserve">Avoid last year's matches</t>
  </si>
  <si>
    <t xml:space="preserve">As a returning organiser, I want to prevent repeat matches from last year so everyone gets someone new</t>
  </si>
  <si>
    <t xml:space="preserve">If group was used last year, import previous draw as exclusion rules. Toggle: 'Avoid last year's matches'. Requires saved groups (email auth)</t>
  </si>
  <si>
    <t xml:space="preserve">GC-036</t>
  </si>
  <si>
    <t xml:space="preserve">Groups</t>
  </si>
  <si>
    <t xml:space="preserve">Saved yearly groups</t>
  </si>
  <si>
    <t xml:space="preserve">As a returning user, I want my group saved so I can reuse it next Christmas</t>
  </si>
  <si>
    <t xml:space="preserve">Email-authenticated users can access saved groups. 'Use this group again next year' prompt after Christmas. Pre-populated member list. Budget and rules carried over. Wishlist carried over</t>
  </si>
  <si>
    <t xml:space="preserve">GC-037</t>
  </si>
  <si>
    <t xml:space="preserve">Scheduled gift buying reminders</t>
  </si>
  <si>
    <t xml:space="preserve">As a participant, I want reminders to buy my gift before the exchange date so I don't forget</t>
  </si>
  <si>
    <t xml:space="preserve">Email reminders at: 2 weeks before, 1 week before, 2 days before exchange date. Only sent to users who haven't marked their gift as bought. Opt-out link</t>
  </si>
  <si>
    <t xml:space="preserve">GC-013, GC-021</t>
  </si>
  <si>
    <t xml:space="preserve">GC-038</t>
  </si>
  <si>
    <t xml:space="preserve">Dynamic affiliate product feed</t>
  </si>
  <si>
    <t xml:space="preserve">As a user, I want real-time gift suggestions from UK retailers so I see current stock and prices</t>
  </si>
  <si>
    <t xml:space="preserve">Integrate Awin product feed API. Filter by price, category, retailer. Auto-tag products from wishlisted retailer URLs. Replace or supplement curated pages</t>
  </si>
  <si>
    <t xml:space="preserve">GC-039</t>
  </si>
  <si>
    <t xml:space="preserve">Dark mode</t>
  </si>
  <si>
    <t xml:space="preserve">As a user who prefers dark mode, I want the app to support my system preference</t>
  </si>
  <si>
    <t xml:space="preserve">Dark mode using existing token system. Auto-detect from prefers-color-scheme. Manual toggle in settings. All surfaces, text, borders, and states tested in dark mode</t>
  </si>
  <si>
    <t xml:space="preserve">GC-040</t>
  </si>
  <si>
    <t xml:space="preserve">Retention</t>
  </si>
  <si>
    <t xml:space="preserve">Post-Christmas email sequence</t>
  </si>
  <si>
    <t xml:space="preserve">As a product owner, I want to re-engage users in January so they return next Christmas</t>
  </si>
  <si>
    <t xml:space="preserve">Email 1 (Boxing Day): 'How did it go? Rate your Secret Santa experience'. Email 2 (Jan): 'Your group is saved — see you next year'. Email 3 (Oct): 'It's time! Your [Group Name] is ready to go again'</t>
  </si>
  <si>
    <t xml:space="preserve">GC-041</t>
  </si>
  <si>
    <t xml:space="preserve">P3 — Year-Round (2027+)</t>
  </si>
  <si>
    <t xml:space="preserve">Multi-Occasion</t>
  </si>
  <si>
    <t xml:space="preserve">Birthday gift exchange mode</t>
  </si>
  <si>
    <t xml:space="preserve">As a family organiser, I want to use GiftCircle for birthday wishlists so the app is useful year-round</t>
  </si>
  <si>
    <t xml:space="preserve">New group mode: Birthday. No draw needed — just wishlists and gift coordination. 'Mark as bought' to prevent duplicates. Date-based reminders</t>
  </si>
  <si>
    <t xml:space="preserve">GC-042</t>
  </si>
  <si>
    <t xml:space="preserve">Eid gift exchange mode</t>
  </si>
  <si>
    <t xml:space="preserve">As a Muslim family, I want to use GiftCircle for Eid gifting so I have a culturally relevant option</t>
  </si>
  <si>
    <t xml:space="preserve">New group mode: Eid. Appropriate theming and language. Halal-friendly gift filter in gift ideas. Same core features as Christmas mode</t>
  </si>
  <si>
    <t xml:space="preserve">GC-043</t>
  </si>
  <si>
    <t xml:space="preserve">Wedding and baby shower registries</t>
  </si>
  <si>
    <t xml:space="preserve">As someone planning a life event, I want to share a wishlist with guests so I get gifts I actually want</t>
  </si>
  <si>
    <t xml:space="preserve">New group mode: Registry. Public wishlist link (no draw). Mark as bought. Multiple price ranges. Notes for guests</t>
  </si>
  <si>
    <t xml:space="preserve">GC-044</t>
  </si>
  <si>
    <t xml:space="preserve">Premium</t>
  </si>
  <si>
    <t xml:space="preserve">Premium group features</t>
  </si>
  <si>
    <t xml:space="preserve">As a power organiser, I want advanced features for large or complex groups so I can manage them better</t>
  </si>
  <si>
    <t xml:space="preserve">Premium tier: larger groups (20+), avoid last year's matches, advanced exclusions, export results, multiple exchanges per group. Pricing: £2.99–£4.99 per group or £9.99/year. Core draw always free</t>
  </si>
  <si>
    <t xml:space="preserve">GC-045</t>
  </si>
  <si>
    <t xml:space="preserve">Workplace plan with branding</t>
  </si>
  <si>
    <t xml:space="preserve">As an HR manager, I want to run Secret Santa for the whole company with our branding</t>
  </si>
  <si>
    <t xml:space="preserve">Custom logo and colours. Admin dashboard. Department-level groups. Slack/Teams integration. Annual licence pricing. Employee count-based tiers</t>
  </si>
  <si>
    <t xml:space="preserve">GC-046</t>
  </si>
  <si>
    <t xml:space="preserve">Mobile</t>
  </si>
  <si>
    <t xml:space="preserve">iOS app (PWA or native)</t>
  </si>
  <si>
    <t xml:space="preserve">As a mobile user, I want an app on my home screen with push notifications so I don't miss anything</t>
  </si>
  <si>
    <t xml:space="preserve">Option A: PWA with service worker and push notifications. Option B: React Native wrapper. Push notifications for: draw results, new messages, reminders. App Store listing</t>
  </si>
  <si>
    <t xml:space="preserve">All P2 features</t>
  </si>
  <si>
    <t xml:space="preserve">GC-047</t>
  </si>
  <si>
    <t xml:space="preserve">Android app (PWA or native)</t>
  </si>
  <si>
    <t xml:space="preserve">As an Android user, I want an app with push notifications</t>
  </si>
  <si>
    <t xml:space="preserve">Same as iOS. Play Store listing. Android-specific testing</t>
  </si>
  <si>
    <t xml:space="preserve">GC-048</t>
  </si>
  <si>
    <t xml:space="preserve">Integrations</t>
  </si>
  <si>
    <t xml:space="preserve">Slack integration</t>
  </si>
  <si>
    <t xml:space="preserve">As a workplace organiser, I want to run Secret Santa inside Slack so the team doesn't need a separate app</t>
  </si>
  <si>
    <t xml:space="preserve">Slack bot: create group, join, receive draw results, send anonymous messages. Slash commands. App directory listing</t>
  </si>
  <si>
    <t xml:space="preserve">Features</t>
  </si>
  <si>
    <t xml:space="preserve">Total Effort (Days)</t>
  </si>
  <si>
    <t xml:space="preserve">Key Deadline</t>
  </si>
  <si>
    <t xml:space="preserve">P0 — MVP</t>
  </si>
  <si>
    <t xml:space="preserve">1 Oct 2026</t>
  </si>
  <si>
    <t xml:space="preserve">P1 — Launch Polish</t>
  </si>
  <si>
    <t xml:space="preserve">1 Nov 2026</t>
  </si>
  <si>
    <t xml:space="preserve">P2 — Post-Launch</t>
  </si>
  <si>
    <t xml:space="preserve">Jan 2027</t>
  </si>
  <si>
    <t xml:space="preserve">P3 — Year-Round</t>
  </si>
  <si>
    <t xml:space="preserve">2027+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</si>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</sst>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D4EDDA"/>
        <bgColor rgb="FFD1ECF1"/>
      </patternFill>
    </fill>
    <fill>
      <patternFill patternType="solid">
        <fgColor rgb="FFFFF3CD"/>
        <bgColor rgb="FFFFFFFF"/>
      </patternFill>
    </fill>
    <fill>
      <patternFill patternType="solid">
        <fgColor rgb="FFD1ECF1"/>
        <bgColor rgb="FFD4EDDA"/>
      </patternFill>
    </fill>
    <fill>
      <patternFill patternType="solid">
        <fgColor rgb="FFE8DDD0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8D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1ECF1"/>
      <rgbColor rgb="FF660066"/>
      <rgbColor rgb="FFFF8080"/>
      <rgbColor rgb="FF0066CC"/>
      <rgbColor rgb="FFE8DD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50"/>
    <col collapsed="false" customWidth="true" hidden="false" outlineLevel="0" max="6" min="6" style="0" width="55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60" hidden="false" customHeight="true" outlineLevel="0" collapsed="false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n">
        <v>2</v>
      </c>
      <c r="I2" s="2" t="s">
        <v>18</v>
      </c>
      <c r="J2" s="2" t="s">
        <v>18</v>
      </c>
      <c r="K2" s="2" t="s">
        <v>19</v>
      </c>
    </row>
    <row r="3" customFormat="false" ht="60" hidden="false" customHeight="true" outlineLevel="0" collapsed="false">
      <c r="A3" s="2" t="s">
        <v>20</v>
      </c>
      <c r="B3" s="3" t="s">
        <v>12</v>
      </c>
      <c r="C3" s="2" t="s">
        <v>13</v>
      </c>
      <c r="D3" s="2" t="s">
        <v>21</v>
      </c>
      <c r="E3" s="2" t="s">
        <v>22</v>
      </c>
      <c r="F3" s="2" t="s">
        <v>23</v>
      </c>
      <c r="G3" s="2" t="s">
        <v>17</v>
      </c>
      <c r="H3" s="2" t="n">
        <v>1</v>
      </c>
      <c r="I3" s="2" t="s">
        <v>11</v>
      </c>
      <c r="J3" s="2" t="s">
        <v>18</v>
      </c>
      <c r="K3" s="2" t="s">
        <v>19</v>
      </c>
    </row>
    <row r="4" customFormat="false" ht="60" hidden="false" customHeight="true" outlineLevel="0" collapsed="false">
      <c r="A4" s="2" t="s">
        <v>24</v>
      </c>
      <c r="B4" s="3" t="s">
        <v>12</v>
      </c>
      <c r="C4" s="2" t="s">
        <v>13</v>
      </c>
      <c r="D4" s="2" t="s">
        <v>25</v>
      </c>
      <c r="E4" s="2" t="s">
        <v>26</v>
      </c>
      <c r="F4" s="2" t="s">
        <v>27</v>
      </c>
      <c r="G4" s="2" t="s">
        <v>17</v>
      </c>
      <c r="H4" s="2" t="n">
        <v>2</v>
      </c>
      <c r="I4" s="2" t="s">
        <v>11</v>
      </c>
      <c r="J4" s="2" t="s">
        <v>18</v>
      </c>
      <c r="K4" s="2" t="s">
        <v>19</v>
      </c>
    </row>
    <row r="5" customFormat="false" ht="60" hidden="false" customHeight="true" outlineLevel="0" collapsed="false">
      <c r="A5" s="2" t="s">
        <v>28</v>
      </c>
      <c r="B5" s="3" t="s">
        <v>12</v>
      </c>
      <c r="C5" s="2" t="s">
        <v>13</v>
      </c>
      <c r="D5" s="2" t="s">
        <v>29</v>
      </c>
      <c r="E5" s="2" t="s">
        <v>30</v>
      </c>
      <c r="F5" s="2" t="s">
        <v>31</v>
      </c>
      <c r="G5" s="2" t="s">
        <v>17</v>
      </c>
      <c r="H5" s="2" t="n">
        <v>2</v>
      </c>
      <c r="I5" s="2" t="s">
        <v>24</v>
      </c>
      <c r="J5" s="2" t="s">
        <v>18</v>
      </c>
      <c r="K5" s="2" t="s">
        <v>19</v>
      </c>
    </row>
    <row r="6" customFormat="false" ht="60" hidden="false" customHeight="true" outlineLevel="0" collapsed="false">
      <c r="A6" s="2" t="s">
        <v>32</v>
      </c>
      <c r="B6" s="3" t="s">
        <v>12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17</v>
      </c>
      <c r="H6" s="2" t="n">
        <v>3</v>
      </c>
      <c r="I6" s="2" t="s">
        <v>20</v>
      </c>
      <c r="J6" s="2" t="s">
        <v>37</v>
      </c>
      <c r="K6" s="2" t="s">
        <v>19</v>
      </c>
    </row>
    <row r="7" customFormat="false" ht="60" hidden="false" customHeight="true" outlineLevel="0" collapsed="false">
      <c r="A7" s="2" t="s">
        <v>38</v>
      </c>
      <c r="B7" s="3" t="s">
        <v>12</v>
      </c>
      <c r="C7" s="2" t="s">
        <v>33</v>
      </c>
      <c r="D7" s="2" t="s">
        <v>39</v>
      </c>
      <c r="E7" s="2" t="s">
        <v>40</v>
      </c>
      <c r="F7" s="2" t="s">
        <v>41</v>
      </c>
      <c r="G7" s="2" t="s">
        <v>37</v>
      </c>
      <c r="H7" s="2" t="n">
        <v>1</v>
      </c>
      <c r="I7" s="2" t="s">
        <v>32</v>
      </c>
      <c r="J7" s="2" t="s">
        <v>37</v>
      </c>
      <c r="K7" s="2" t="s">
        <v>19</v>
      </c>
    </row>
    <row r="8" customFormat="false" ht="60" hidden="false" customHeight="true" outlineLevel="0" collapsed="false">
      <c r="A8" s="2" t="s">
        <v>42</v>
      </c>
      <c r="B8" s="3" t="s">
        <v>12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17</v>
      </c>
      <c r="H8" s="2" t="n">
        <v>3</v>
      </c>
      <c r="I8" s="2" t="s">
        <v>28</v>
      </c>
      <c r="J8" s="2" t="s">
        <v>18</v>
      </c>
      <c r="K8" s="2" t="s">
        <v>19</v>
      </c>
    </row>
    <row r="9" customFormat="false" ht="60" hidden="false" customHeight="true" outlineLevel="0" collapsed="false">
      <c r="A9" s="2" t="s">
        <v>47</v>
      </c>
      <c r="B9" s="3" t="s">
        <v>12</v>
      </c>
      <c r="C9" s="2" t="s">
        <v>43</v>
      </c>
      <c r="D9" s="2" t="s">
        <v>48</v>
      </c>
      <c r="E9" s="2" t="s">
        <v>49</v>
      </c>
      <c r="F9" s="2" t="s">
        <v>50</v>
      </c>
      <c r="G9" s="2" t="s">
        <v>17</v>
      </c>
      <c r="H9" s="2" t="n">
        <v>2</v>
      </c>
      <c r="I9" s="2" t="s">
        <v>42</v>
      </c>
      <c r="J9" s="2" t="s">
        <v>18</v>
      </c>
      <c r="K9" s="2" t="s">
        <v>19</v>
      </c>
    </row>
    <row r="10" customFormat="false" ht="60" hidden="false" customHeight="true" outlineLevel="0" collapsed="false">
      <c r="A10" s="2" t="s">
        <v>51</v>
      </c>
      <c r="B10" s="3" t="s">
        <v>12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17</v>
      </c>
      <c r="H10" s="2" t="n">
        <v>2</v>
      </c>
      <c r="I10" s="2" t="s">
        <v>47</v>
      </c>
      <c r="J10" s="2" t="s">
        <v>18</v>
      </c>
      <c r="K10" s="2" t="s">
        <v>19</v>
      </c>
    </row>
    <row r="11" customFormat="false" ht="60" hidden="false" customHeight="true" outlineLevel="0" collapsed="false">
      <c r="A11" s="2" t="s">
        <v>56</v>
      </c>
      <c r="B11" s="3" t="s">
        <v>12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17</v>
      </c>
      <c r="H11" s="2" t="n">
        <v>3</v>
      </c>
      <c r="I11" s="2" t="s">
        <v>51</v>
      </c>
      <c r="J11" s="2" t="s">
        <v>18</v>
      </c>
      <c r="K11" s="2" t="s">
        <v>19</v>
      </c>
    </row>
    <row r="12" customFormat="false" ht="60" hidden="false" customHeight="true" outlineLevel="0" collapsed="false">
      <c r="A12" s="2" t="s">
        <v>61</v>
      </c>
      <c r="B12" s="3" t="s">
        <v>12</v>
      </c>
      <c r="C12" s="2" t="s">
        <v>57</v>
      </c>
      <c r="D12" s="2" t="s">
        <v>62</v>
      </c>
      <c r="E12" s="2" t="s">
        <v>63</v>
      </c>
      <c r="F12" s="2" t="s">
        <v>64</v>
      </c>
      <c r="G12" s="2" t="s">
        <v>37</v>
      </c>
      <c r="H12" s="2" t="n">
        <v>2</v>
      </c>
      <c r="I12" s="2" t="s">
        <v>56</v>
      </c>
      <c r="J12" s="2" t="s">
        <v>18</v>
      </c>
      <c r="K12" s="2" t="s">
        <v>19</v>
      </c>
    </row>
    <row r="13" customFormat="false" ht="60" hidden="false" customHeight="true" outlineLevel="0" collapsed="false">
      <c r="A13" s="2" t="s">
        <v>65</v>
      </c>
      <c r="B13" s="3" t="s">
        <v>12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17</v>
      </c>
      <c r="H13" s="2" t="n">
        <v>3</v>
      </c>
      <c r="I13" s="2" t="s">
        <v>61</v>
      </c>
      <c r="J13" s="2" t="s">
        <v>18</v>
      </c>
      <c r="K13" s="2" t="s">
        <v>19</v>
      </c>
    </row>
    <row r="14" customFormat="false" ht="60" hidden="false" customHeight="true" outlineLevel="0" collapsed="false">
      <c r="A14" s="2" t="s">
        <v>70</v>
      </c>
      <c r="B14" s="3" t="s">
        <v>12</v>
      </c>
      <c r="C14" s="2" t="s">
        <v>66</v>
      </c>
      <c r="D14" s="2" t="s">
        <v>71</v>
      </c>
      <c r="E14" s="2" t="s">
        <v>72</v>
      </c>
      <c r="F14" s="2" t="s">
        <v>73</v>
      </c>
      <c r="G14" s="2" t="s">
        <v>17</v>
      </c>
      <c r="H14" s="2" t="n">
        <v>4</v>
      </c>
      <c r="I14" s="2" t="s">
        <v>65</v>
      </c>
      <c r="J14" s="2" t="s">
        <v>18</v>
      </c>
      <c r="K14" s="2" t="s">
        <v>19</v>
      </c>
    </row>
    <row r="15" customFormat="false" ht="60" hidden="false" customHeight="true" outlineLevel="0" collapsed="false">
      <c r="A15" s="2" t="s">
        <v>74</v>
      </c>
      <c r="B15" s="3" t="s">
        <v>12</v>
      </c>
      <c r="C15" s="2" t="s">
        <v>66</v>
      </c>
      <c r="D15" s="2" t="s">
        <v>75</v>
      </c>
      <c r="E15" s="2" t="s">
        <v>76</v>
      </c>
      <c r="F15" s="2" t="s">
        <v>77</v>
      </c>
      <c r="G15" s="2" t="s">
        <v>37</v>
      </c>
      <c r="H15" s="2" t="n">
        <v>1</v>
      </c>
      <c r="I15" s="2" t="s">
        <v>70</v>
      </c>
      <c r="J15" s="2" t="s">
        <v>18</v>
      </c>
      <c r="K15" s="2" t="s">
        <v>19</v>
      </c>
    </row>
    <row r="16" customFormat="false" ht="60" hidden="false" customHeight="true" outlineLevel="0" collapsed="false">
      <c r="A16" s="2" t="s">
        <v>78</v>
      </c>
      <c r="B16" s="3" t="s">
        <v>12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17</v>
      </c>
      <c r="H16" s="2" t="n">
        <v>3</v>
      </c>
      <c r="I16" s="2" t="s">
        <v>56</v>
      </c>
      <c r="J16" s="2" t="s">
        <v>37</v>
      </c>
      <c r="K16" s="2" t="s">
        <v>19</v>
      </c>
    </row>
    <row r="17" customFormat="false" ht="60" hidden="false" customHeight="true" outlineLevel="0" collapsed="false">
      <c r="A17" s="2" t="s">
        <v>83</v>
      </c>
      <c r="B17" s="3" t="s">
        <v>12</v>
      </c>
      <c r="C17" s="2" t="s">
        <v>79</v>
      </c>
      <c r="D17" s="2" t="s">
        <v>84</v>
      </c>
      <c r="E17" s="2" t="s">
        <v>85</v>
      </c>
      <c r="F17" s="2" t="s">
        <v>86</v>
      </c>
      <c r="G17" s="2" t="s">
        <v>37</v>
      </c>
      <c r="H17" s="2" t="n">
        <v>2</v>
      </c>
      <c r="I17" s="2" t="s">
        <v>78</v>
      </c>
      <c r="J17" s="2" t="s">
        <v>87</v>
      </c>
      <c r="K17" s="2" t="s">
        <v>19</v>
      </c>
    </row>
    <row r="18" customFormat="false" ht="60" hidden="false" customHeight="true" outlineLevel="0" collapsed="false">
      <c r="A18" s="2" t="s">
        <v>88</v>
      </c>
      <c r="B18" s="3" t="s">
        <v>12</v>
      </c>
      <c r="C18" s="2" t="s">
        <v>89</v>
      </c>
      <c r="D18" s="2" t="s">
        <v>90</v>
      </c>
      <c r="E18" s="2" t="s">
        <v>91</v>
      </c>
      <c r="F18" s="2" t="s">
        <v>92</v>
      </c>
      <c r="G18" s="2" t="s">
        <v>17</v>
      </c>
      <c r="H18" s="2" t="n">
        <v>4</v>
      </c>
      <c r="I18" s="2" t="s">
        <v>65</v>
      </c>
      <c r="J18" s="2" t="s">
        <v>18</v>
      </c>
      <c r="K18" s="2" t="s">
        <v>19</v>
      </c>
    </row>
    <row r="19" customFormat="false" ht="60" hidden="false" customHeight="true" outlineLevel="0" collapsed="false">
      <c r="A19" s="2" t="s">
        <v>93</v>
      </c>
      <c r="B19" s="3" t="s">
        <v>12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37</v>
      </c>
      <c r="H19" s="2" t="n">
        <v>4</v>
      </c>
      <c r="I19" s="2" t="s">
        <v>20</v>
      </c>
      <c r="J19" s="2" t="s">
        <v>17</v>
      </c>
      <c r="K19" s="2" t="s">
        <v>19</v>
      </c>
    </row>
    <row r="20" customFormat="false" ht="60" hidden="false" customHeight="true" outlineLevel="0" collapsed="false">
      <c r="A20" s="2" t="s">
        <v>98</v>
      </c>
      <c r="B20" s="3" t="s">
        <v>12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37</v>
      </c>
      <c r="H20" s="2" t="n">
        <v>5</v>
      </c>
      <c r="I20" s="2" t="s">
        <v>56</v>
      </c>
      <c r="J20" s="2" t="s">
        <v>87</v>
      </c>
      <c r="K20" s="2" t="s">
        <v>19</v>
      </c>
    </row>
    <row r="21" customFormat="false" ht="60" hidden="false" customHeight="true" outlineLevel="0" collapsed="false">
      <c r="A21" s="2" t="s">
        <v>103</v>
      </c>
      <c r="B21" s="3" t="s">
        <v>12</v>
      </c>
      <c r="C21" s="2" t="s">
        <v>13</v>
      </c>
      <c r="D21" s="2" t="s">
        <v>104</v>
      </c>
      <c r="E21" s="2" t="s">
        <v>105</v>
      </c>
      <c r="F21" s="2" t="s">
        <v>106</v>
      </c>
      <c r="G21" s="2" t="s">
        <v>17</v>
      </c>
      <c r="H21" s="2" t="n">
        <v>3</v>
      </c>
      <c r="I21" s="2" t="s">
        <v>107</v>
      </c>
      <c r="J21" s="2" t="s">
        <v>18</v>
      </c>
      <c r="K21" s="2" t="s">
        <v>19</v>
      </c>
    </row>
    <row r="22" customFormat="false" ht="60" hidden="false" customHeight="true" outlineLevel="0" collapsed="false">
      <c r="A22" s="2" t="s">
        <v>108</v>
      </c>
      <c r="B22" s="4" t="s">
        <v>109</v>
      </c>
      <c r="C22" s="2" t="s">
        <v>110</v>
      </c>
      <c r="D22" s="2" t="s">
        <v>111</v>
      </c>
      <c r="E22" s="2" t="s">
        <v>112</v>
      </c>
      <c r="F22" s="2" t="s">
        <v>113</v>
      </c>
      <c r="G22" s="2" t="s">
        <v>37</v>
      </c>
      <c r="H22" s="2" t="n">
        <v>2</v>
      </c>
      <c r="I22" s="2" t="s">
        <v>70</v>
      </c>
      <c r="J22" s="2" t="s">
        <v>18</v>
      </c>
      <c r="K22" s="2" t="s">
        <v>19</v>
      </c>
    </row>
    <row r="23" customFormat="false" ht="60" hidden="false" customHeight="true" outlineLevel="0" collapsed="false">
      <c r="A23" s="2" t="s">
        <v>114</v>
      </c>
      <c r="B23" s="4" t="s">
        <v>109</v>
      </c>
      <c r="C23" s="2" t="s">
        <v>110</v>
      </c>
      <c r="D23" s="2" t="s">
        <v>115</v>
      </c>
      <c r="E23" s="2" t="s">
        <v>116</v>
      </c>
      <c r="F23" s="2" t="s">
        <v>117</v>
      </c>
      <c r="G23" s="2" t="s">
        <v>87</v>
      </c>
      <c r="H23" s="2" t="n">
        <v>1</v>
      </c>
      <c r="I23" s="2" t="s">
        <v>88</v>
      </c>
      <c r="J23" s="2" t="s">
        <v>18</v>
      </c>
      <c r="K23" s="2" t="s">
        <v>19</v>
      </c>
    </row>
    <row r="24" customFormat="false" ht="60" hidden="false" customHeight="true" outlineLevel="0" collapsed="false">
      <c r="A24" s="2" t="s">
        <v>118</v>
      </c>
      <c r="B24" s="4" t="s">
        <v>109</v>
      </c>
      <c r="C24" s="2" t="s">
        <v>110</v>
      </c>
      <c r="D24" s="2" t="s">
        <v>119</v>
      </c>
      <c r="E24" s="2" t="s">
        <v>120</v>
      </c>
      <c r="F24" s="2" t="s">
        <v>121</v>
      </c>
      <c r="G24" s="2" t="s">
        <v>87</v>
      </c>
      <c r="H24" s="2" t="n">
        <v>2</v>
      </c>
      <c r="I24" s="2" t="s">
        <v>61</v>
      </c>
      <c r="J24" s="2" t="s">
        <v>18</v>
      </c>
      <c r="K24" s="2" t="s">
        <v>19</v>
      </c>
    </row>
    <row r="25" customFormat="false" ht="60" hidden="false" customHeight="true" outlineLevel="0" collapsed="false">
      <c r="A25" s="2" t="s">
        <v>122</v>
      </c>
      <c r="B25" s="4" t="s">
        <v>109</v>
      </c>
      <c r="C25" s="2" t="s">
        <v>94</v>
      </c>
      <c r="D25" s="2" t="s">
        <v>123</v>
      </c>
      <c r="E25" s="2" t="s">
        <v>124</v>
      </c>
      <c r="F25" s="2" t="s">
        <v>125</v>
      </c>
      <c r="G25" s="2" t="s">
        <v>87</v>
      </c>
      <c r="H25" s="2" t="n">
        <v>2</v>
      </c>
      <c r="I25" s="2" t="s">
        <v>93</v>
      </c>
      <c r="J25" s="2" t="s">
        <v>37</v>
      </c>
      <c r="K25" s="2" t="s">
        <v>19</v>
      </c>
    </row>
    <row r="26" customFormat="false" ht="60" hidden="false" customHeight="true" outlineLevel="0" collapsed="false">
      <c r="A26" s="2" t="s">
        <v>126</v>
      </c>
      <c r="B26" s="4" t="s">
        <v>109</v>
      </c>
      <c r="C26" s="2" t="s">
        <v>33</v>
      </c>
      <c r="D26" s="2" t="s">
        <v>127</v>
      </c>
      <c r="E26" s="2" t="s">
        <v>128</v>
      </c>
      <c r="F26" s="2" t="s">
        <v>129</v>
      </c>
      <c r="G26" s="2" t="s">
        <v>87</v>
      </c>
      <c r="H26" s="2" t="n">
        <v>1</v>
      </c>
      <c r="I26" s="2" t="s">
        <v>32</v>
      </c>
      <c r="J26" s="2" t="s">
        <v>87</v>
      </c>
      <c r="K26" s="2" t="s">
        <v>19</v>
      </c>
    </row>
    <row r="27" customFormat="false" ht="60" hidden="false" customHeight="true" outlineLevel="0" collapsed="false">
      <c r="A27" s="2" t="s">
        <v>130</v>
      </c>
      <c r="B27" s="4" t="s">
        <v>109</v>
      </c>
      <c r="C27" s="2" t="s">
        <v>33</v>
      </c>
      <c r="D27" s="2" t="s">
        <v>131</v>
      </c>
      <c r="E27" s="2" t="s">
        <v>132</v>
      </c>
      <c r="F27" s="2" t="s">
        <v>133</v>
      </c>
      <c r="G27" s="2" t="s">
        <v>134</v>
      </c>
      <c r="H27" s="2" t="n">
        <v>1</v>
      </c>
      <c r="I27" s="2" t="s">
        <v>32</v>
      </c>
      <c r="J27" s="2" t="s">
        <v>87</v>
      </c>
      <c r="K27" s="2" t="s">
        <v>19</v>
      </c>
    </row>
    <row r="28" customFormat="false" ht="60" hidden="false" customHeight="true" outlineLevel="0" collapsed="false">
      <c r="A28" s="2" t="s">
        <v>135</v>
      </c>
      <c r="B28" s="4" t="s">
        <v>109</v>
      </c>
      <c r="C28" s="2" t="s">
        <v>136</v>
      </c>
      <c r="D28" s="2" t="s">
        <v>137</v>
      </c>
      <c r="E28" s="2" t="s">
        <v>138</v>
      </c>
      <c r="F28" s="2" t="s">
        <v>139</v>
      </c>
      <c r="G28" s="2" t="s">
        <v>37</v>
      </c>
      <c r="H28" s="2" t="n">
        <v>3</v>
      </c>
      <c r="I28" s="2" t="s">
        <v>107</v>
      </c>
      <c r="J28" s="2" t="s">
        <v>18</v>
      </c>
      <c r="K28" s="2" t="s">
        <v>19</v>
      </c>
    </row>
    <row r="29" customFormat="false" ht="60" hidden="false" customHeight="true" outlineLevel="0" collapsed="false">
      <c r="A29" s="2" t="s">
        <v>140</v>
      </c>
      <c r="B29" s="4" t="s">
        <v>109</v>
      </c>
      <c r="C29" s="2" t="s">
        <v>141</v>
      </c>
      <c r="D29" s="2" t="s">
        <v>142</v>
      </c>
      <c r="E29" s="2" t="s">
        <v>143</v>
      </c>
      <c r="F29" s="2" t="s">
        <v>144</v>
      </c>
      <c r="G29" s="2" t="s">
        <v>37</v>
      </c>
      <c r="H29" s="2" t="n">
        <v>2</v>
      </c>
      <c r="I29" s="2" t="s">
        <v>107</v>
      </c>
      <c r="J29" s="2" t="s">
        <v>18</v>
      </c>
      <c r="K29" s="2" t="s">
        <v>19</v>
      </c>
    </row>
    <row r="30" customFormat="false" ht="60" hidden="false" customHeight="true" outlineLevel="0" collapsed="false">
      <c r="A30" s="2" t="s">
        <v>145</v>
      </c>
      <c r="B30" s="4" t="s">
        <v>109</v>
      </c>
      <c r="C30" s="2" t="s">
        <v>146</v>
      </c>
      <c r="D30" s="2" t="s">
        <v>147</v>
      </c>
      <c r="E30" s="2" t="s">
        <v>148</v>
      </c>
      <c r="F30" s="2" t="s">
        <v>149</v>
      </c>
      <c r="G30" s="2" t="s">
        <v>37</v>
      </c>
      <c r="H30" s="2" t="n">
        <v>2</v>
      </c>
      <c r="I30" s="2" t="s">
        <v>93</v>
      </c>
      <c r="J30" s="2" t="s">
        <v>17</v>
      </c>
      <c r="K30" s="2" t="s">
        <v>19</v>
      </c>
    </row>
    <row r="31" customFormat="false" ht="60" hidden="false" customHeight="true" outlineLevel="0" collapsed="false">
      <c r="A31" s="2" t="s">
        <v>150</v>
      </c>
      <c r="B31" s="4" t="s">
        <v>109</v>
      </c>
      <c r="C31" s="2" t="s">
        <v>151</v>
      </c>
      <c r="D31" s="2" t="s">
        <v>152</v>
      </c>
      <c r="E31" s="2" t="s">
        <v>153</v>
      </c>
      <c r="F31" s="2" t="s">
        <v>154</v>
      </c>
      <c r="G31" s="2" t="s">
        <v>37</v>
      </c>
      <c r="H31" s="2" t="n">
        <v>2</v>
      </c>
      <c r="I31" s="2" t="s">
        <v>107</v>
      </c>
      <c r="J31" s="2" t="s">
        <v>87</v>
      </c>
      <c r="K31" s="2" t="s">
        <v>19</v>
      </c>
    </row>
    <row r="32" customFormat="false" ht="60" hidden="false" customHeight="true" outlineLevel="0" collapsed="false">
      <c r="A32" s="2" t="s">
        <v>155</v>
      </c>
      <c r="B32" s="5" t="s">
        <v>156</v>
      </c>
      <c r="C32" s="2" t="s">
        <v>99</v>
      </c>
      <c r="D32" s="2" t="s">
        <v>157</v>
      </c>
      <c r="E32" s="2" t="s">
        <v>158</v>
      </c>
      <c r="F32" s="2" t="s">
        <v>159</v>
      </c>
      <c r="G32" s="2" t="s">
        <v>87</v>
      </c>
      <c r="H32" s="2" t="n">
        <v>3</v>
      </c>
      <c r="I32" s="2" t="s">
        <v>98</v>
      </c>
      <c r="J32" s="2" t="s">
        <v>134</v>
      </c>
      <c r="K32" s="2" t="s">
        <v>19</v>
      </c>
    </row>
    <row r="33" customFormat="false" ht="60" hidden="false" customHeight="true" outlineLevel="0" collapsed="false">
      <c r="A33" s="2" t="s">
        <v>160</v>
      </c>
      <c r="B33" s="5" t="s">
        <v>156</v>
      </c>
      <c r="C33" s="2" t="s">
        <v>99</v>
      </c>
      <c r="D33" s="2" t="s">
        <v>161</v>
      </c>
      <c r="E33" s="2" t="s">
        <v>162</v>
      </c>
      <c r="F33" s="2" t="s">
        <v>163</v>
      </c>
      <c r="G33" s="2" t="s">
        <v>134</v>
      </c>
      <c r="H33" s="2" t="n">
        <v>2</v>
      </c>
      <c r="I33" s="2" t="s">
        <v>164</v>
      </c>
      <c r="J33" s="2" t="s">
        <v>134</v>
      </c>
      <c r="K33" s="2" t="s">
        <v>19</v>
      </c>
    </row>
    <row r="34" customFormat="false" ht="60" hidden="false" customHeight="true" outlineLevel="0" collapsed="false">
      <c r="A34" s="2" t="s">
        <v>165</v>
      </c>
      <c r="B34" s="5" t="s">
        <v>156</v>
      </c>
      <c r="C34" s="2" t="s">
        <v>99</v>
      </c>
      <c r="D34" s="2" t="s">
        <v>166</v>
      </c>
      <c r="E34" s="2" t="s">
        <v>167</v>
      </c>
      <c r="F34" s="2" t="s">
        <v>168</v>
      </c>
      <c r="G34" s="2" t="s">
        <v>134</v>
      </c>
      <c r="H34" s="2" t="n">
        <v>3</v>
      </c>
      <c r="I34" s="2" t="s">
        <v>98</v>
      </c>
      <c r="J34" s="2" t="s">
        <v>134</v>
      </c>
      <c r="K34" s="2" t="s">
        <v>19</v>
      </c>
    </row>
    <row r="35" customFormat="false" ht="60" hidden="false" customHeight="true" outlineLevel="0" collapsed="false">
      <c r="A35" s="2" t="s">
        <v>169</v>
      </c>
      <c r="B35" s="5" t="s">
        <v>156</v>
      </c>
      <c r="C35" s="2" t="s">
        <v>99</v>
      </c>
      <c r="D35" s="2" t="s">
        <v>170</v>
      </c>
      <c r="E35" s="2" t="s">
        <v>171</v>
      </c>
      <c r="F35" s="2" t="s">
        <v>172</v>
      </c>
      <c r="G35" s="2" t="s">
        <v>134</v>
      </c>
      <c r="H35" s="2" t="n">
        <v>2</v>
      </c>
      <c r="I35" s="2" t="s">
        <v>98</v>
      </c>
      <c r="J35" s="2" t="s">
        <v>134</v>
      </c>
      <c r="K35" s="2" t="s">
        <v>19</v>
      </c>
    </row>
    <row r="36" customFormat="false" ht="60" hidden="false" customHeight="true" outlineLevel="0" collapsed="false">
      <c r="A36" s="2" t="s">
        <v>173</v>
      </c>
      <c r="B36" s="5" t="s">
        <v>156</v>
      </c>
      <c r="C36" s="2" t="s">
        <v>66</v>
      </c>
      <c r="D36" s="2" t="s">
        <v>174</v>
      </c>
      <c r="E36" s="2" t="s">
        <v>175</v>
      </c>
      <c r="F36" s="2" t="s">
        <v>176</v>
      </c>
      <c r="G36" s="2" t="s">
        <v>87</v>
      </c>
      <c r="H36" s="2" t="n">
        <v>2</v>
      </c>
      <c r="I36" s="2" t="s">
        <v>65</v>
      </c>
      <c r="J36" s="2" t="s">
        <v>134</v>
      </c>
      <c r="K36" s="2" t="s">
        <v>19</v>
      </c>
    </row>
    <row r="37" customFormat="false" ht="60" hidden="false" customHeight="true" outlineLevel="0" collapsed="false">
      <c r="A37" s="2" t="s">
        <v>177</v>
      </c>
      <c r="B37" s="5" t="s">
        <v>156</v>
      </c>
      <c r="C37" s="2" t="s">
        <v>178</v>
      </c>
      <c r="D37" s="2" t="s">
        <v>179</v>
      </c>
      <c r="E37" s="2" t="s">
        <v>180</v>
      </c>
      <c r="F37" s="2" t="s">
        <v>181</v>
      </c>
      <c r="G37" s="2" t="s">
        <v>87</v>
      </c>
      <c r="H37" s="2" t="n">
        <v>3</v>
      </c>
      <c r="I37" s="2" t="s">
        <v>28</v>
      </c>
      <c r="J37" s="2" t="s">
        <v>87</v>
      </c>
      <c r="K37" s="2" t="s">
        <v>19</v>
      </c>
    </row>
    <row r="38" customFormat="false" ht="60" hidden="false" customHeight="true" outlineLevel="0" collapsed="false">
      <c r="A38" s="2" t="s">
        <v>182</v>
      </c>
      <c r="B38" s="5" t="s">
        <v>156</v>
      </c>
      <c r="C38" s="2" t="s">
        <v>110</v>
      </c>
      <c r="D38" s="2" t="s">
        <v>183</v>
      </c>
      <c r="E38" s="2" t="s">
        <v>184</v>
      </c>
      <c r="F38" s="2" t="s">
        <v>185</v>
      </c>
      <c r="G38" s="2" t="s">
        <v>87</v>
      </c>
      <c r="H38" s="2" t="n">
        <v>2</v>
      </c>
      <c r="I38" s="2" t="s">
        <v>186</v>
      </c>
      <c r="J38" s="2" t="s">
        <v>18</v>
      </c>
      <c r="K38" s="2" t="s">
        <v>19</v>
      </c>
    </row>
    <row r="39" customFormat="false" ht="60" hidden="false" customHeight="true" outlineLevel="0" collapsed="false">
      <c r="A39" s="2" t="s">
        <v>187</v>
      </c>
      <c r="B39" s="5" t="s">
        <v>156</v>
      </c>
      <c r="C39" s="2" t="s">
        <v>94</v>
      </c>
      <c r="D39" s="2" t="s">
        <v>188</v>
      </c>
      <c r="E39" s="2" t="s">
        <v>189</v>
      </c>
      <c r="F39" s="2" t="s">
        <v>190</v>
      </c>
      <c r="G39" s="2" t="s">
        <v>87</v>
      </c>
      <c r="H39" s="2" t="n">
        <v>5</v>
      </c>
      <c r="I39" s="2" t="s">
        <v>93</v>
      </c>
      <c r="J39" s="2" t="s">
        <v>17</v>
      </c>
      <c r="K39" s="2" t="s">
        <v>19</v>
      </c>
    </row>
    <row r="40" customFormat="false" ht="60" hidden="false" customHeight="true" outlineLevel="0" collapsed="false">
      <c r="A40" s="2" t="s">
        <v>191</v>
      </c>
      <c r="B40" s="5" t="s">
        <v>156</v>
      </c>
      <c r="C40" s="2" t="s">
        <v>13</v>
      </c>
      <c r="D40" s="2" t="s">
        <v>192</v>
      </c>
      <c r="E40" s="2" t="s">
        <v>193</v>
      </c>
      <c r="F40" s="2" t="s">
        <v>194</v>
      </c>
      <c r="G40" s="2" t="s">
        <v>134</v>
      </c>
      <c r="H40" s="2" t="n">
        <v>3</v>
      </c>
      <c r="I40" s="2" t="s">
        <v>20</v>
      </c>
      <c r="J40" s="2" t="s">
        <v>18</v>
      </c>
      <c r="K40" s="2" t="s">
        <v>19</v>
      </c>
    </row>
    <row r="41" customFormat="false" ht="60" hidden="false" customHeight="true" outlineLevel="0" collapsed="false">
      <c r="A41" s="2" t="s">
        <v>195</v>
      </c>
      <c r="B41" s="5" t="s">
        <v>156</v>
      </c>
      <c r="C41" s="2" t="s">
        <v>196</v>
      </c>
      <c r="D41" s="2" t="s">
        <v>197</v>
      </c>
      <c r="E41" s="2" t="s">
        <v>198</v>
      </c>
      <c r="F41" s="2" t="s">
        <v>199</v>
      </c>
      <c r="G41" s="2" t="s">
        <v>87</v>
      </c>
      <c r="H41" s="2" t="n">
        <v>2</v>
      </c>
      <c r="I41" s="2" t="s">
        <v>108</v>
      </c>
      <c r="J41" s="2" t="s">
        <v>87</v>
      </c>
      <c r="K41" s="2" t="s">
        <v>19</v>
      </c>
    </row>
    <row r="42" customFormat="false" ht="60" hidden="false" customHeight="true" outlineLevel="0" collapsed="false">
      <c r="A42" s="2" t="s">
        <v>200</v>
      </c>
      <c r="B42" s="6" t="s">
        <v>201</v>
      </c>
      <c r="C42" s="2" t="s">
        <v>202</v>
      </c>
      <c r="D42" s="2" t="s">
        <v>203</v>
      </c>
      <c r="E42" s="2" t="s">
        <v>204</v>
      </c>
      <c r="F42" s="2" t="s">
        <v>205</v>
      </c>
      <c r="G42" s="2" t="s">
        <v>87</v>
      </c>
      <c r="H42" s="2" t="n">
        <v>4</v>
      </c>
      <c r="I42" s="2" t="s">
        <v>177</v>
      </c>
      <c r="J42" s="2" t="s">
        <v>87</v>
      </c>
      <c r="K42" s="2" t="s">
        <v>19</v>
      </c>
    </row>
    <row r="43" customFormat="false" ht="60" hidden="false" customHeight="true" outlineLevel="0" collapsed="false">
      <c r="A43" s="2" t="s">
        <v>206</v>
      </c>
      <c r="B43" s="6" t="s">
        <v>201</v>
      </c>
      <c r="C43" s="2" t="s">
        <v>202</v>
      </c>
      <c r="D43" s="2" t="s">
        <v>207</v>
      </c>
      <c r="E43" s="2" t="s">
        <v>208</v>
      </c>
      <c r="F43" s="2" t="s">
        <v>209</v>
      </c>
      <c r="G43" s="2" t="s">
        <v>87</v>
      </c>
      <c r="H43" s="2" t="n">
        <v>3</v>
      </c>
      <c r="I43" s="2" t="s">
        <v>200</v>
      </c>
      <c r="J43" s="2" t="s">
        <v>87</v>
      </c>
      <c r="K43" s="2" t="s">
        <v>19</v>
      </c>
    </row>
    <row r="44" customFormat="false" ht="60" hidden="false" customHeight="true" outlineLevel="0" collapsed="false">
      <c r="A44" s="2" t="s">
        <v>210</v>
      </c>
      <c r="B44" s="6" t="s">
        <v>201</v>
      </c>
      <c r="C44" s="2" t="s">
        <v>202</v>
      </c>
      <c r="D44" s="2" t="s">
        <v>211</v>
      </c>
      <c r="E44" s="2" t="s">
        <v>212</v>
      </c>
      <c r="F44" s="2" t="s">
        <v>213</v>
      </c>
      <c r="G44" s="2" t="s">
        <v>134</v>
      </c>
      <c r="H44" s="2" t="n">
        <v>4</v>
      </c>
      <c r="I44" s="2" t="s">
        <v>200</v>
      </c>
      <c r="J44" s="2" t="s">
        <v>87</v>
      </c>
      <c r="K44" s="2" t="s">
        <v>19</v>
      </c>
    </row>
    <row r="45" customFormat="false" ht="60" hidden="false" customHeight="true" outlineLevel="0" collapsed="false">
      <c r="A45" s="2" t="s">
        <v>214</v>
      </c>
      <c r="B45" s="6" t="s">
        <v>201</v>
      </c>
      <c r="C45" s="2" t="s">
        <v>215</v>
      </c>
      <c r="D45" s="2" t="s">
        <v>216</v>
      </c>
      <c r="E45" s="2" t="s">
        <v>217</v>
      </c>
      <c r="F45" s="2" t="s">
        <v>218</v>
      </c>
      <c r="G45" s="2" t="s">
        <v>87</v>
      </c>
      <c r="H45" s="2" t="n">
        <v>5</v>
      </c>
      <c r="I45" s="2" t="s">
        <v>177</v>
      </c>
      <c r="J45" s="2" t="s">
        <v>37</v>
      </c>
      <c r="K45" s="2" t="s">
        <v>19</v>
      </c>
    </row>
    <row r="46" customFormat="false" ht="60" hidden="false" customHeight="true" outlineLevel="0" collapsed="false">
      <c r="A46" s="2" t="s">
        <v>219</v>
      </c>
      <c r="B46" s="6" t="s">
        <v>201</v>
      </c>
      <c r="C46" s="2" t="s">
        <v>215</v>
      </c>
      <c r="D46" s="2" t="s">
        <v>220</v>
      </c>
      <c r="E46" s="2" t="s">
        <v>221</v>
      </c>
      <c r="F46" s="2" t="s">
        <v>222</v>
      </c>
      <c r="G46" s="2" t="s">
        <v>134</v>
      </c>
      <c r="H46" s="2" t="n">
        <v>8</v>
      </c>
      <c r="I46" s="2" t="s">
        <v>214</v>
      </c>
      <c r="J46" s="2" t="s">
        <v>37</v>
      </c>
      <c r="K46" s="2" t="s">
        <v>19</v>
      </c>
    </row>
    <row r="47" customFormat="false" ht="60" hidden="false" customHeight="true" outlineLevel="0" collapsed="false">
      <c r="A47" s="2" t="s">
        <v>223</v>
      </c>
      <c r="B47" s="6" t="s">
        <v>201</v>
      </c>
      <c r="C47" s="2" t="s">
        <v>224</v>
      </c>
      <c r="D47" s="2" t="s">
        <v>225</v>
      </c>
      <c r="E47" s="2" t="s">
        <v>226</v>
      </c>
      <c r="F47" s="2" t="s">
        <v>227</v>
      </c>
      <c r="G47" s="2" t="s">
        <v>134</v>
      </c>
      <c r="H47" s="2" t="n">
        <v>10</v>
      </c>
      <c r="I47" s="2" t="s">
        <v>228</v>
      </c>
      <c r="J47" s="2" t="s">
        <v>87</v>
      </c>
      <c r="K47" s="2" t="s">
        <v>19</v>
      </c>
    </row>
    <row r="48" customFormat="false" ht="60" hidden="false" customHeight="true" outlineLevel="0" collapsed="false">
      <c r="A48" s="2" t="s">
        <v>229</v>
      </c>
      <c r="B48" s="6" t="s">
        <v>201</v>
      </c>
      <c r="C48" s="2" t="s">
        <v>224</v>
      </c>
      <c r="D48" s="2" t="s">
        <v>230</v>
      </c>
      <c r="E48" s="2" t="s">
        <v>231</v>
      </c>
      <c r="F48" s="2" t="s">
        <v>232</v>
      </c>
      <c r="G48" s="2" t="s">
        <v>134</v>
      </c>
      <c r="H48" s="2" t="n">
        <v>8</v>
      </c>
      <c r="I48" s="2" t="s">
        <v>223</v>
      </c>
      <c r="J48" s="2" t="s">
        <v>87</v>
      </c>
      <c r="K48" s="2" t="s">
        <v>19</v>
      </c>
    </row>
    <row r="49" customFormat="false" ht="60" hidden="false" customHeight="true" outlineLevel="0" collapsed="false">
      <c r="A49" s="2" t="s">
        <v>233</v>
      </c>
      <c r="B49" s="6" t="s">
        <v>201</v>
      </c>
      <c r="C49" s="2" t="s">
        <v>234</v>
      </c>
      <c r="D49" s="2" t="s">
        <v>235</v>
      </c>
      <c r="E49" s="2" t="s">
        <v>236</v>
      </c>
      <c r="F49" s="2" t="s">
        <v>237</v>
      </c>
      <c r="G49" s="2" t="s">
        <v>134</v>
      </c>
      <c r="H49" s="2" t="n">
        <v>6</v>
      </c>
      <c r="I49" s="2" t="s">
        <v>219</v>
      </c>
      <c r="J49" s="2" t="s">
        <v>87</v>
      </c>
      <c r="K49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7" t="s">
        <v>1</v>
      </c>
      <c r="B1" s="7" t="s">
        <v>238</v>
      </c>
      <c r="C1" s="7" t="s">
        <v>239</v>
      </c>
      <c r="D1" s="7" t="s">
        <v>240</v>
      </c>
    </row>
    <row r="2" customFormat="false" ht="15" hidden="false" customHeight="false" outlineLevel="0" collapsed="false">
      <c r="A2" s="8" t="s">
        <v>241</v>
      </c>
      <c r="B2" s="8" t="n">
        <v>20</v>
      </c>
      <c r="C2" s="8" t="n">
        <f aca="false">SUMPRODUCT(('Feature Backlog'!B2:B100="P0 — MVP (Oct 2026)")*'Feature Backlog'!H2:H100)</f>
        <v>52</v>
      </c>
      <c r="D2" s="8" t="s">
        <v>242</v>
      </c>
    </row>
    <row r="3" customFormat="false" ht="15" hidden="false" customHeight="false" outlineLevel="0" collapsed="false">
      <c r="A3" s="8" t="s">
        <v>243</v>
      </c>
      <c r="B3" s="8" t="n">
        <v>10</v>
      </c>
      <c r="C3" s="8" t="n">
        <f aca="false">SUMPRODUCT(('Feature Backlog'!B2:B100="P1 — Launch Polish (Nov 2026)")*'Feature Backlog'!H2:H100)</f>
        <v>18</v>
      </c>
      <c r="D3" s="8" t="s">
        <v>244</v>
      </c>
    </row>
    <row r="4" customFormat="false" ht="15" hidden="false" customHeight="false" outlineLevel="0" collapsed="false">
      <c r="A4" s="8" t="s">
        <v>245</v>
      </c>
      <c r="B4" s="8" t="n">
        <v>10</v>
      </c>
      <c r="C4" s="8" t="n">
        <f aca="false">SUMPRODUCT(('Feature Backlog'!B2:B100="P2 — Post-Launch (Jan 2027)")*'Feature Backlog'!H2:H100)</f>
        <v>27</v>
      </c>
      <c r="D4" s="8" t="s">
        <v>246</v>
      </c>
    </row>
    <row r="5" customFormat="false" ht="15" hidden="false" customHeight="false" outlineLevel="0" collapsed="false">
      <c r="A5" s="8" t="s">
        <v>247</v>
      </c>
      <c r="B5" s="8" t="n">
        <v>8</v>
      </c>
      <c r="C5" s="8" t="n">
        <f aca="false">SUMPRODUCT(('Feature Backlog'!B2:B100="P3 — Year-Round (2027+)")*'Feature Backlog'!H2:H100)</f>
        <v>48</v>
      </c>
      <c r="D5" s="8" t="s">
        <v>248</v>
      </c>
    </row>
    <row r="6" customFormat="false" ht="15" hidden="false" customHeight="false" outlineLevel="0" collapsed="false">
      <c r="A6" s="9" t="s">
        <v>249</v>
      </c>
      <c r="B6" s="9" t="n">
        <f aca="false">SUM(B2:B5)</f>
        <v>48</v>
      </c>
      <c r="C6" s="9" t="n">
        <f aca="false">SUM(C2:C5)</f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7" t="s">
        <v>2</v>
      </c>
      <c r="B1" s="7" t="s">
        <v>239</v>
      </c>
    </row>
    <row r="2" customFormat="false" ht="15" hidden="false" customHeight="false" outlineLevel="0" collapsed="false">
      <c r="A2" s="10" t="s">
        <v>13</v>
      </c>
      <c r="B2" s="10" t="n">
        <f aca="false">SUMPRODUCT(('Feature Backlog'!C2:C100="Infrastructure")*'Feature Backlog'!H2:H100)</f>
        <v>13</v>
      </c>
    </row>
    <row r="3" customFormat="false" ht="15" hidden="false" customHeight="false" outlineLevel="0" collapsed="false">
      <c r="A3" s="10" t="s">
        <v>33</v>
      </c>
      <c r="B3" s="10" t="n">
        <f aca="false">SUMPRODUCT(('Feature Backlog'!C2:C100="Landing Page")*'Feature Backlog'!H2:H100)</f>
        <v>6</v>
      </c>
    </row>
    <row r="4" customFormat="false" ht="15" hidden="false" customHeight="false" outlineLevel="0" collapsed="false">
      <c r="A4" s="10" t="s">
        <v>43</v>
      </c>
      <c r="B4" s="10" t="n">
        <f aca="false">SUMPRODUCT(('Feature Backlog'!C2:C100="Group Creation")*'Feature Backlog'!H2:H100)</f>
        <v>5</v>
      </c>
    </row>
    <row r="5" customFormat="false" ht="15" hidden="false" customHeight="false" outlineLevel="0" collapsed="false">
      <c r="A5" s="10" t="s">
        <v>52</v>
      </c>
      <c r="B5" s="10" t="n">
        <f aca="false">SUMPRODUCT(('Feature Backlog'!C2:C100="Join Flow")*'Feature Backlog'!H2:H100)</f>
        <v>2</v>
      </c>
    </row>
    <row r="6" customFormat="false" ht="15" hidden="false" customHeight="false" outlineLevel="0" collapsed="false">
      <c r="A6" s="10" t="s">
        <v>57</v>
      </c>
      <c r="B6" s="10" t="n">
        <f aca="false">SUMPRODUCT(('Feature Backlog'!C2:C100="Dashboard")*'Feature Backlog'!H2:H100)</f>
        <v>5</v>
      </c>
    </row>
    <row r="7" customFormat="false" ht="15" hidden="false" customHeight="false" outlineLevel="0" collapsed="false">
      <c r="A7" s="10" t="s">
        <v>66</v>
      </c>
      <c r="B7" s="10" t="n">
        <f aca="false">SUMPRODUCT(('Feature Backlog'!C2:C100="Draw System")*'Feature Backlog'!H2:H100)</f>
        <v>10</v>
      </c>
    </row>
    <row r="8" customFormat="false" ht="15" hidden="false" customHeight="false" outlineLevel="0" collapsed="false">
      <c r="A8" s="10" t="s">
        <v>79</v>
      </c>
      <c r="B8" s="10" t="n">
        <f aca="false">SUMPRODUCT(('Feature Backlog'!C2:C100="Wishlists")*'Feature Backlog'!H2:H100)</f>
        <v>5</v>
      </c>
    </row>
    <row r="9" customFormat="false" ht="15" hidden="false" customHeight="false" outlineLevel="0" collapsed="false">
      <c r="A9" s="10" t="s">
        <v>89</v>
      </c>
      <c r="B9" s="10" t="n">
        <f aca="false">SUMPRODUCT(('Feature Backlog'!C2:C100="Messaging")*'Feature Backlog'!H2:H100)</f>
        <v>4</v>
      </c>
    </row>
    <row r="10" customFormat="false" ht="15" hidden="false" customHeight="false" outlineLevel="0" collapsed="false">
      <c r="A10" s="10" t="s">
        <v>94</v>
      </c>
      <c r="B10" s="10" t="n">
        <f aca="false">SUMPRODUCT(('Feature Backlog'!C2:C100="Gift Ideas")*'Feature Backlog'!H2:H100)</f>
        <v>11</v>
      </c>
    </row>
    <row r="11" customFormat="false" ht="15" hidden="false" customHeight="false" outlineLevel="0" collapsed="false">
      <c r="A11" s="10" t="s">
        <v>99</v>
      </c>
      <c r="B11" s="10" t="n">
        <f aca="false">SUMPRODUCT(('Feature Backlog'!C2:C100="Games")*'Feature Backlog'!H2:H100)</f>
        <v>15</v>
      </c>
    </row>
    <row r="12" customFormat="false" ht="15" hidden="false" customHeight="false" outlineLevel="0" collapsed="false">
      <c r="A12" s="10" t="s">
        <v>110</v>
      </c>
      <c r="B12" s="10" t="n">
        <f aca="false">SUMPRODUCT(('Feature Backlog'!C2:C100="Notifications")*'Feature Backlog'!H2:H100)</f>
        <v>7</v>
      </c>
    </row>
    <row r="13" customFormat="false" ht="15" hidden="false" customHeight="false" outlineLevel="0" collapsed="false">
      <c r="A13" s="10" t="s">
        <v>136</v>
      </c>
      <c r="B13" s="10" t="n">
        <f aca="false">SUMPRODUCT(('Feature Backlog'!C2:C100="Accessibility")*'Feature Backlog'!H2:H100)</f>
        <v>3</v>
      </c>
    </row>
    <row r="14" customFormat="false" ht="15" hidden="false" customHeight="false" outlineLevel="0" collapsed="false">
      <c r="A14" s="10" t="s">
        <v>141</v>
      </c>
      <c r="B14" s="10" t="n">
        <f aca="false">SUMPRODUCT(('Feature Backlog'!C2:C100="Performance")*'Feature Backlog'!H2:H100)</f>
        <v>2</v>
      </c>
    </row>
    <row r="15" customFormat="false" ht="15" hidden="false" customHeight="false" outlineLevel="0" collapsed="false">
      <c r="A15" s="10" t="s">
        <v>146</v>
      </c>
      <c r="B15" s="10" t="n">
        <f aca="false">SUMPRODUCT(('Feature Backlog'!C2:C100="SEO")*'Feature Backlog'!H2:H100)</f>
        <v>2</v>
      </c>
    </row>
    <row r="16" customFormat="false" ht="15" hidden="false" customHeight="false" outlineLevel="0" collapsed="false">
      <c r="A16" s="10" t="s">
        <v>151</v>
      </c>
      <c r="B16" s="10" t="n">
        <f aca="false">SUMPRODUCT(('Feature Backlog'!C2:C100="Analytics")*'Feature Backlog'!H2:H100)</f>
        <v>2</v>
      </c>
    </row>
    <row r="17" customFormat="false" ht="15" hidden="false" customHeight="false" outlineLevel="0" collapsed="false">
      <c r="A17" s="10" t="s">
        <v>196</v>
      </c>
      <c r="B17" s="10" t="n">
        <f aca="false">SUMPRODUCT(('Feature Backlog'!C2:C100="Retention")*'Feature Backlog'!H2:H100)</f>
        <v>2</v>
      </c>
    </row>
    <row r="18" customFormat="false" ht="15" hidden="false" customHeight="false" outlineLevel="0" collapsed="false">
      <c r="A18" s="10" t="s">
        <v>202</v>
      </c>
      <c r="B18" s="10" t="n">
        <f aca="false">SUMPRODUCT(('Feature Backlog'!C2:C100="Multi-Occasion")*'Feature Backlog'!H2:H100)</f>
        <v>11</v>
      </c>
    </row>
    <row r="19" customFormat="false" ht="15" hidden="false" customHeight="false" outlineLevel="0" collapsed="false">
      <c r="A19" s="10" t="s">
        <v>215</v>
      </c>
      <c r="B19" s="10" t="n">
        <f aca="false">SUMPRODUCT(('Feature Backlog'!C2:C100="Premium")*'Feature Backlog'!H2:H100)</f>
        <v>13</v>
      </c>
    </row>
    <row r="20" customFormat="false" ht="15" hidden="false" customHeight="false" outlineLevel="0" collapsed="false">
      <c r="A20" s="10" t="s">
        <v>224</v>
      </c>
      <c r="B20" s="10" t="n">
        <f aca="false">SUMPRODUCT(('Feature Backlog'!C2:C100="Mobile")*'Feature Backlog'!H2:H100)</f>
        <v>18</v>
      </c>
    </row>
    <row r="21" customFormat="false" ht="15" hidden="false" customHeight="false" outlineLevel="0" collapsed="false">
      <c r="A21" s="10" t="s">
        <v>234</v>
      </c>
      <c r="B21" s="10" t="n">
        <f aca="false">SUMPRODUCT(('Feature Backlog'!C2:C100="Integrations")*'Feature Backlog'!H2:H100)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2026-06-04T05:36:10Z</dcterms:created>
  <dc:creator>openpyxl</dc:creator>
  <dc:description/>
  <dc:language>en-US</dc:language>
  <cp:lastModifiedBy/>
  <dcterms:modified xsi:type="dcterms:W3CDTF">2026-06-04T05:36:10Z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